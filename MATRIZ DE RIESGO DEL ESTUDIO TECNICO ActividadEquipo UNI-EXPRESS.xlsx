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1AE8FD-115A-4DD1-A22E-514A251E4413}" xr6:coauthVersionLast="47" xr6:coauthVersionMax="47" xr10:uidLastSave="{00000000-0000-0000-0000-000000000000}"/>
  <bookViews>
    <workbookView xWindow="-120" yWindow="-120" windowWidth="20730" windowHeight="11160" xr2:uid="{BB169046-85FF-4940-BC12-52FED69CEDBA}"/>
  </bookViews>
  <sheets>
    <sheet name="PRESENTACIÓN" sheetId="9" r:id="rId1"/>
    <sheet name="escalas" sheetId="2" state="hidden" r:id="rId2"/>
    <sheet name="Generalidades" sheetId="5" r:id="rId3"/>
    <sheet name="Instrucciones" sheetId="7" r:id="rId4"/>
    <sheet name="Riesgos de estudio técnico" sheetId="1" r:id="rId5"/>
    <sheet name="NECESIDADES" sheetId="8" r:id="rId6"/>
  </sheets>
  <definedNames>
    <definedName name="_xlnm._FilterDatabase" localSheetId="4" hidden="1">'Riesgos de estudio técnico'!$G$1:$M$7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2" i="1"/>
  <c r="F26" i="8"/>
  <c r="F13" i="8"/>
  <c r="H11" i="8"/>
  <c r="H10" i="8"/>
  <c r="H4" i="8"/>
  <c r="J3" i="1"/>
  <c r="J6" i="1"/>
  <c r="E7" i="1"/>
  <c r="D7" i="1"/>
  <c r="J4" i="1" s="1"/>
  <c r="C7" i="1"/>
  <c r="D6" i="1"/>
  <c r="J5" i="1" s="1"/>
  <c r="E6" i="1"/>
  <c r="C6" i="1"/>
  <c r="D5" i="1"/>
  <c r="E5" i="1"/>
  <c r="C5" i="1"/>
</calcChain>
</file>

<file path=xl/sharedStrings.xml><?xml version="1.0" encoding="utf-8"?>
<sst xmlns="http://schemas.openxmlformats.org/spreadsheetml/2006/main" count="177" uniqueCount="120">
  <si>
    <t>Probabilidad</t>
  </si>
  <si>
    <t>Alta</t>
  </si>
  <si>
    <t>Medio</t>
  </si>
  <si>
    <t>Bajo</t>
  </si>
  <si>
    <t>Baja</t>
  </si>
  <si>
    <t>Media</t>
  </si>
  <si>
    <t>Impacto</t>
  </si>
  <si>
    <t>Alto</t>
  </si>
  <si>
    <t>Descripción</t>
  </si>
  <si>
    <t>Severidad</t>
  </si>
  <si>
    <t>Responsable</t>
  </si>
  <si>
    <t>Fecha</t>
  </si>
  <si>
    <t>Riesgo técnico</t>
  </si>
  <si>
    <t>Riesgos de mercado</t>
  </si>
  <si>
    <t>Están relacionados con la ejecución interna del proyecto, es decir, con su capacidad para alcanzar los objetivos planificados en términos de tiempo, costo y calidad. Son aquellos relacionados con la tecnología, el diseño, la operación y la capacidad de producción del proyecto. Estos riesgos pueden comprometer la viabilidad operativa o financiera del proyecto si no se gestionan adecuadamente.</t>
  </si>
  <si>
    <t>Análisis de riesgos</t>
  </si>
  <si>
    <t>Un análisis de riesgos es una herramienta que te ayudará a prever los riesgos y amenazas a los que está sometido tu proyecto para de esta manera poder realizar planes de contingencia y reducir el posible impacto en los procesos de la empresa.</t>
  </si>
  <si>
    <t xml:space="preserve">Son aquellos factores externos que afectan la rentabilidad o viabilidad del proyecto debido a cambios en el entorno del mercado. Estos riesgos pueden provenir de fluctuaciones en las condiciones económicas, la competencia, los precios, la demanda del producto o servicio, productos sustitutos, los canales de comercialización, entre otros. </t>
  </si>
  <si>
    <t>Riesgo financiero</t>
  </si>
  <si>
    <t>Riesgo organizacional/legal</t>
  </si>
  <si>
    <t>Matriz de riesgos</t>
  </si>
  <si>
    <t>Una matriz de riesgos es una herramienta de análisis de riesgos que te ayudará con la evaluación del riesgo, la probabilidad y el impacto del riesgo durante la planificación del proyecto. Deberás identificar la probabilidad y el impacto de cada riesgo para incorporarlos a tu matriz de riesgos y poder calcular así la calificación del impacto (severidad) de cada uno de ellos. Estas calificaciones ayudarán a tu equipo a determinar qué prioridad asignar a los riesgos del proyecto y a gestionarlos de manera efectiva, con acciones que permitan mitigar o eliminar el riesgo.</t>
  </si>
  <si>
    <t xml:space="preserve">Los riesgos financieros en un proyecto de inversión son aquellos que afectan la estabilidad económica y la rentabilidad del proyecto. Estos riesgos pueden impactar el flujo de efectivo, el acceso a capital, la estructura de costos o la capacidad del proyecto para generar las utilidades esperadas. </t>
  </si>
  <si>
    <t xml:space="preserve">Los riesgos organizativos y legales en un proyecto de inversión están relacionados con la estructura interna de la empresa, incluyendo la coordinación de recursos humanos, financieros y logísticos y el entorno normativo en el que opera. Una mala gestión puede derivar en la ineficiencia, retrasos o problemas operacionales que impacten la rentabilidad del proyecto. </t>
  </si>
  <si>
    <t>Elementos de una matriz de riesgos</t>
  </si>
  <si>
    <r>
      <t>1. Descripción del riesgo</t>
    </r>
    <r>
      <rPr>
        <sz val="11"/>
        <color theme="1"/>
        <rFont val="Calibri"/>
        <family val="2"/>
        <scheme val="minor"/>
      </rPr>
      <t>: Cada riesgo identificado debe ser claramente descrito, incluyendo su naturaleza y cómo podría afectar al proyecto.</t>
    </r>
  </si>
  <si>
    <r>
      <t>2. Categoría del riesgo</t>
    </r>
    <r>
      <rPr>
        <sz val="11"/>
        <color theme="1"/>
        <rFont val="Calibri"/>
        <family val="2"/>
        <scheme val="minor"/>
      </rPr>
      <t>: Los riesgos pueden ser clasificados en categorías como financieros, técnicos, operativos, organizativos, legales, de mercado, etc. Esta categorización ayuda a organizar y priorizar las acciones a tomar.</t>
    </r>
  </si>
  <si>
    <r>
      <t>6. Acción de mitigación</t>
    </r>
    <r>
      <rPr>
        <sz val="11"/>
        <color theme="1"/>
        <rFont val="Calibri"/>
        <family val="2"/>
        <scheme val="minor"/>
      </rPr>
      <t>: Se describen las acciones o estrategias que se implementarán para reducir la probabilidad o el impacto del riesgo, o para gestionarlo en caso de que ocurra.</t>
    </r>
  </si>
  <si>
    <r>
      <t>7. Responsable</t>
    </r>
    <r>
      <rPr>
        <sz val="11"/>
        <color theme="1"/>
        <rFont val="Calibri"/>
        <family val="2"/>
        <scheme val="minor"/>
      </rPr>
      <t>: Se identifica a la persona o equipo encargado de gestionar cada riesgo y asegurarse de que las acciones de mitigación se implementen correctamente.</t>
    </r>
  </si>
  <si>
    <t>Cómo llenar una matriz de riesgos</t>
  </si>
  <si>
    <r>
      <t>1. Identificación de riesgos</t>
    </r>
    <r>
      <rPr>
        <sz val="11"/>
        <color theme="1"/>
        <rFont val="Calibri"/>
        <family val="2"/>
        <scheme val="minor"/>
      </rPr>
      <t>: El primer paso es identificar todos los posibles riesgos que puedan afectar el proyecto de inversión. Esto se puede hacer a través de sesiones de lluvia de ideas con el equipo, análisis de proyectos anteriores o consultas con expertos.</t>
    </r>
  </si>
  <si>
    <r>
      <t>5. Planificación de la mitigación</t>
    </r>
    <r>
      <rPr>
        <sz val="11"/>
        <color theme="1"/>
        <rFont val="Calibri"/>
        <family val="2"/>
        <scheme val="minor"/>
      </rPr>
      <t>: Para cada riesgo, se debe definir una estrategia de mitigación. Esto puede implicar eliminar el riesgo, reducir su probabilidad o impacto, transferir el riesgo (por ejemplo, mediante un seguro) o aceptar el riesgo si no es crítico.</t>
    </r>
  </si>
  <si>
    <r>
      <t>6. Asignación de responsabilidades</t>
    </r>
    <r>
      <rPr>
        <sz val="11"/>
        <color theme="1"/>
        <rFont val="Calibri"/>
        <family val="2"/>
        <scheme val="minor"/>
      </rPr>
      <t>: Cada riesgo debe tener un responsable específico que sea encargado de monitorear el riesgo y asegurarse de que las acciones de mitigación se implementen. Esta persona o equipo debe tener la autoridad y los recursos necesarios para actuar en caso de que el riesgo se materialice.</t>
    </r>
  </si>
  <si>
    <r>
      <t>7. Monitoreo y actualización</t>
    </r>
    <r>
      <rPr>
        <sz val="11"/>
        <color theme="1"/>
        <rFont val="Calibri"/>
        <family val="2"/>
        <scheme val="minor"/>
      </rPr>
      <t>: La matriz de riesgos no es estática. Debe ser revisada y actualizada a lo largo del ciclo de vida del proyecto. Nuevos riesgos pueden surgir y los riesgos identificados pueden cambiar en términos de probabilidad e impacto. El monitoreo constante es esencial para gestionar los riesgos de manera efectiva.</t>
    </r>
  </si>
  <si>
    <t>MEDICIÓN DE RIESGOS EN LOS PROYECTOS DE INVERSIÓN</t>
  </si>
  <si>
    <r>
      <t>3. Probabilidad de ocurrencia</t>
    </r>
    <r>
      <rPr>
        <sz val="11"/>
        <color theme="1"/>
        <rFont val="Calibri"/>
        <family val="2"/>
        <scheme val="minor"/>
      </rPr>
      <t>: Se refiere a la posibilidad de que el riesgo se materialice. La probabilidad generalmente se clasifica en una escala de baja, media o alta, y se asigna una calificación en orden ascendente.</t>
    </r>
  </si>
  <si>
    <r>
      <t>4. Impacto</t>
    </r>
    <r>
      <rPr>
        <sz val="11"/>
        <color theme="1"/>
        <rFont val="Calibri"/>
        <family val="2"/>
        <scheme val="minor"/>
      </rPr>
      <t>: Evalúa el efecto que tendría el riesgo si ocurriera. Al igual que la probabilidad, puede clasificarse como bajo, medio o alto y se asigna también una calificación ascedente.</t>
    </r>
  </si>
  <si>
    <r>
      <t>5. Severidad (probabilidad x impacto)</t>
    </r>
    <r>
      <rPr>
        <sz val="11"/>
        <color theme="1"/>
        <rFont val="Calibri"/>
        <family val="2"/>
        <scheme val="minor"/>
      </rPr>
      <t>: Es el resultado de combinar la probabilidad de que ocurra el riesgo y su impacto. Esto permite priorizar los riesgos que requieren mayor atención. Los riesgos con alta probabilidad y alto impacto serán los más críticos.</t>
    </r>
  </si>
  <si>
    <t>Acciones de mitigación</t>
  </si>
  <si>
    <r>
      <t>8. Fecha:</t>
    </r>
    <r>
      <rPr>
        <sz val="11"/>
        <color theme="1"/>
        <rFont val="Calibri"/>
        <family val="2"/>
        <scheme val="minor"/>
      </rPr>
      <t xml:space="preserve"> Se asigna una fecha en la cuál debe ser atendido, esto es atendiendo al orden de prioridad.</t>
    </r>
  </si>
  <si>
    <r>
      <t>2. Clasificación de los riesgos</t>
    </r>
    <r>
      <rPr>
        <sz val="11"/>
        <color theme="1"/>
        <rFont val="Calibri"/>
        <family val="2"/>
        <scheme val="minor"/>
      </rPr>
      <t>: Una vez identificados, los riesgos deben ser clasificados en categorías según su tipo (de mercado, técnicos, organizativo/legales, financieros).</t>
    </r>
  </si>
  <si>
    <r>
      <t>3. Evaluación de probabilidad e impacto</t>
    </r>
    <r>
      <rPr>
        <sz val="11"/>
        <color theme="1"/>
        <rFont val="Calibri"/>
        <family val="2"/>
        <scheme val="minor"/>
      </rPr>
      <t xml:space="preserve">: Se asigna un valor a la </t>
    </r>
    <r>
      <rPr>
        <b/>
        <sz val="11"/>
        <color theme="1"/>
        <rFont val="Calibri"/>
        <family val="2"/>
        <scheme val="minor"/>
      </rPr>
      <t>probabilidad</t>
    </r>
    <r>
      <rPr>
        <sz val="11"/>
        <color theme="1"/>
        <rFont val="Calibri"/>
        <family val="2"/>
        <scheme val="minor"/>
      </rPr>
      <t xml:space="preserve"> y al </t>
    </r>
    <r>
      <rPr>
        <b/>
        <sz val="11"/>
        <color theme="1"/>
        <rFont val="Calibri"/>
        <family val="2"/>
        <scheme val="minor"/>
      </rPr>
      <t>impacto</t>
    </r>
    <r>
      <rPr>
        <sz val="11"/>
        <color theme="1"/>
        <rFont val="Calibri"/>
        <family val="2"/>
        <scheme val="minor"/>
      </rPr>
      <t xml:space="preserve"> de cada riesgo. Esto se puede hacer en una escala cualitativa (por ejemplo: bajo, medio, alto). De manera automática la matriz asignará el valor.</t>
    </r>
  </si>
  <si>
    <r>
      <t>4. Cálculo de la severidad del riesgo</t>
    </r>
    <r>
      <rPr>
        <sz val="11"/>
        <color theme="1"/>
        <rFont val="Calibri"/>
        <family val="2"/>
        <scheme val="minor"/>
      </rPr>
      <t>: El nivel de riesgo es el resultado de multiplicar la probabilidad por el impacto. Esto se hace para priorizar los riesgos y concentrar los esfuerzos en los que son más críticos para el proyecto. Si se usa una escala de 1 a 5 para ambos factores, el nivel de riesgo resultará en una escala de 1 a 10, donde los valores más altos representan los riesgos más críticos.</t>
    </r>
  </si>
  <si>
    <t>Equipo / Mobiliario</t>
  </si>
  <si>
    <t>Cantidad</t>
  </si>
  <si>
    <t>Marca / Modelo Sugerido</t>
  </si>
  <si>
    <t>Proveedor</t>
  </si>
  <si>
    <t>Costo aproximado (MXN)</t>
  </si>
  <si>
    <t>Computadora de escritorio</t>
  </si>
  <si>
    <t>HP o Lenovo</t>
  </si>
  <si>
    <t>Office Depot</t>
  </si>
  <si>
    <t>c/u</t>
  </si>
  <si>
    <t>Impresora multifuncional láser</t>
  </si>
  <si>
    <t>Brother DCP-L2550DW</t>
  </si>
  <si>
    <t>Lumen</t>
  </si>
  <si>
    <t>Fotocopiadora</t>
  </si>
  <si>
    <t>Canon IR1024</t>
  </si>
  <si>
    <t>Mayoreo Papelero</t>
  </si>
  <si>
    <t>Plastificadora</t>
  </si>
  <si>
    <t>Fellowes Saturn 3i A4</t>
  </si>
  <si>
    <t>Amazon</t>
  </si>
  <si>
    <t>Encuadernadora</t>
  </si>
  <si>
    <t>GBC CombBind C200</t>
  </si>
  <si>
    <t>OfficeMax</t>
  </si>
  <si>
    <t>Mostrador con vitrina</t>
  </si>
  <si>
    <t>Hecho a medida</t>
  </si>
  <si>
    <t>Carpintería local</t>
  </si>
  <si>
    <t>Estantes metálicos</t>
  </si>
  <si>
    <t>Genérico</t>
  </si>
  <si>
    <t>Caja registradora / POS</t>
  </si>
  <si>
    <t>Square Terminal</t>
  </si>
  <si>
    <t>Square</t>
  </si>
  <si>
    <t>Total estimado de inversión</t>
  </si>
  <si>
    <t>Sillas y mesa de trabajo (2 SETS)</t>
  </si>
  <si>
    <t>4. NECESIDADES DE MAQUINARIA Y EQUIPO</t>
  </si>
  <si>
    <t>5. NECESIDADES DE MATERIA PRIMA</t>
  </si>
  <si>
    <t>Materia prima / insumo</t>
  </si>
  <si>
    <t>Cantidad mensual aprox.</t>
  </si>
  <si>
    <t>Proveedor principal</t>
  </si>
  <si>
    <t>Precio unitario (MXN)</t>
  </si>
  <si>
    <t>Costo mensual estimado</t>
  </si>
  <si>
    <t>Hojas tamaño carta (resma)</t>
  </si>
  <si>
    <t>Cartulinas de colores</t>
  </si>
  <si>
    <t>Tinta y tóner para impresora</t>
  </si>
  <si>
    <t>Plásticos para encuadernar</t>
  </si>
  <si>
    <t>Espirales para encuadernado</t>
  </si>
  <si>
    <t>Bolsas ecológicas</t>
  </si>
  <si>
    <t>Proveedor local</t>
  </si>
  <si>
    <t>Artículos escolares varios</t>
  </si>
  <si>
    <t>Diversos (plumas, libretas, clips, etc.)</t>
  </si>
  <si>
    <t>Lumen / Kores</t>
  </si>
  <si>
    <t>—</t>
  </si>
  <si>
    <t>Total mensual estimado</t>
  </si>
  <si>
    <t>2 U</t>
  </si>
  <si>
    <t>Aumento en precios de insumos</t>
  </si>
  <si>
    <t>Fallas en equipos de impresión / copiado</t>
  </si>
  <si>
    <t>Baja de ventas en vacaciones</t>
  </si>
  <si>
    <t>Entrada de nuevos competidores</t>
  </si>
  <si>
    <t>Cambios en hábitos digitales (uso de tablets, laptops)</t>
  </si>
  <si>
    <t>Fallas en internet o energía eléctrica</t>
  </si>
  <si>
    <t>Retrasos de proveedores</t>
  </si>
  <si>
    <t>Problemas legales o fiscales</t>
  </si>
  <si>
    <t>Robo o vandalismo</t>
  </si>
  <si>
    <t>Falta de liquidez o flujo de efectivo insuficiente</t>
  </si>
  <si>
    <t>Negociar precios por volumen y buscar proveedores alternos.</t>
  </si>
  <si>
    <t>Encargado de compras</t>
  </si>
  <si>
    <t>Establecer mantenimiento preventivo y garantías extendidas.</t>
  </si>
  <si>
    <t>Técnico de mantenimiento</t>
  </si>
  <si>
    <t>Lanzar promociones en redes sociales y vender en línea.</t>
  </si>
  <si>
    <t>Encargado de marketing</t>
  </si>
  <si>
    <t>Diferenciarse con servicio rápido y atención personalizada.</t>
  </si>
  <si>
    <t>Gerente</t>
  </si>
  <si>
    <t>Ofrecer impresión digital por WhatsApp y archivos en la nube.</t>
  </si>
  <si>
    <t>Contratar respaldo de datos móviles y UPS de emergencia.</t>
  </si>
  <si>
    <t>Tener más de un proveedor clave por insumo.</t>
  </si>
  <si>
    <t>Cumplir con obligaciones fiscales y capacitación en normatividad.</t>
  </si>
  <si>
    <t>Gerente / Contador</t>
  </si>
  <si>
    <t>Instalar cámaras y contratar seguro contra daños.</t>
  </si>
  <si>
    <t>Mantener fondo de reserva de 3 meses de operación.</t>
  </si>
  <si>
    <t>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</si>
</sst>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2" xfId="2"/>
    <xf numFmtId="0" fontId="2" fillId="0" borderId="2" xfId="2" applyFill="1"/>
    <xf numFmtId="0" fontId="0" fillId="2" borderId="0" xfId="0" applyFill="1" applyAlignment="1">
      <alignment horizontal="center"/>
    </xf>
    <xf numFmtId="0" fontId="1" fillId="0" borderId="1" xfId="1"/>
    <xf numFmtId="0" fontId="0" fillId="3" borderId="0" xfId="0" applyFill="1"/>
    <xf numFmtId="0" fontId="0" fillId="3" borderId="0" xfId="0" applyFill="1" applyAlignment="1">
      <alignment horizontal="center"/>
    </xf>
    <xf numFmtId="0" fontId="2" fillId="0" borderId="2" xfId="2" applyAlignment="1">
      <alignment wrapText="1"/>
    </xf>
    <xf numFmtId="0" fontId="0" fillId="0" borderId="0" xfId="0" applyAlignment="1">
      <alignment wrapText="1"/>
    </xf>
    <xf numFmtId="0" fontId="2" fillId="0" borderId="2" xfId="2" applyAlignment="1">
      <alignment horizontal="center"/>
    </xf>
    <xf numFmtId="0" fontId="6" fillId="4" borderId="1" xfId="1" applyFont="1" applyFill="1" applyAlignment="1">
      <alignment vertical="center" wrapText="1"/>
    </xf>
    <xf numFmtId="0" fontId="0" fillId="5" borderId="0" xfId="0" applyFill="1"/>
    <xf numFmtId="0" fontId="3" fillId="5" borderId="0" xfId="0" applyFont="1" applyFill="1" applyAlignment="1">
      <alignment horizontal="left" vertical="center" wrapText="1"/>
    </xf>
    <xf numFmtId="0" fontId="0" fillId="5" borderId="0" xfId="0" applyFill="1" applyAlignment="1">
      <alignment wrapText="1"/>
    </xf>
    <xf numFmtId="0" fontId="0" fillId="6" borderId="0" xfId="0" applyFill="1"/>
    <xf numFmtId="0" fontId="3" fillId="6" borderId="0" xfId="0" applyFont="1" applyFill="1" applyAlignment="1">
      <alignment horizontal="left" vertical="center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5" fillId="4" borderId="1" xfId="1" applyFont="1" applyFill="1" applyAlignment="1">
      <alignment horizontal="center" vertical="center" wrapText="1"/>
    </xf>
    <xf numFmtId="0" fontId="1" fillId="0" borderId="1" xfId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0" fillId="0" borderId="0" xfId="3" applyFont="1" applyAlignment="1">
      <alignment horizontal="right" vertical="center" wrapText="1"/>
    </xf>
    <xf numFmtId="44" fontId="0" fillId="0" borderId="0" xfId="3" applyFont="1" applyAlignment="1">
      <alignment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/>
    <xf numFmtId="44" fontId="4" fillId="0" borderId="3" xfId="3" applyFont="1" applyBorder="1" applyAlignment="1">
      <alignment horizontal="right"/>
    </xf>
    <xf numFmtId="44" fontId="0" fillId="0" borderId="0" xfId="3" applyFont="1"/>
    <xf numFmtId="44" fontId="4" fillId="0" borderId="0" xfId="3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8" fillId="7" borderId="0" xfId="0" applyFont="1" applyFill="1" applyAlignment="1">
      <alignment horizontal="center"/>
    </xf>
  </cellXfs>
  <cellStyles count="4">
    <cellStyle name="Moneda" xfId="3" builtinId="4"/>
    <cellStyle name="Normal" xfId="0" builtinId="0"/>
    <cellStyle name="Título 2" xfId="1" builtinId="17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95250</xdr:rowOff>
    </xdr:from>
    <xdr:to>
      <xdr:col>4</xdr:col>
      <xdr:colOff>172085</xdr:colOff>
      <xdr:row>24</xdr:row>
      <xdr:rowOff>167585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7FF3ED-FE52-45E3-AAE0-E507AD3E5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95250"/>
          <a:ext cx="3096260" cy="4644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3525-BBB3-4889-9A94-B3DB5BD59372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C3BD-B70A-41F4-B514-7671F528F252}">
  <dimension ref="A1:B5"/>
  <sheetViews>
    <sheetView workbookViewId="0">
      <selection activeCell="G15" sqref="G15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0</v>
      </c>
      <c r="B1" t="s">
        <v>6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2</v>
      </c>
    </row>
    <row r="5" spans="1:2" x14ac:dyDescent="0.25">
      <c r="A5" t="s">
        <v>1</v>
      </c>
      <c r="B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5972-5A44-4023-8099-99DD099F10D5}">
  <dimension ref="A1:D9"/>
  <sheetViews>
    <sheetView workbookViewId="0">
      <selection sqref="A1:D1"/>
    </sheetView>
  </sheetViews>
  <sheetFormatPr baseColWidth="10" defaultRowHeight="18.75" x14ac:dyDescent="0.25"/>
  <cols>
    <col min="1" max="1" width="2.7109375" style="15" customWidth="1"/>
    <col min="2" max="2" width="25" style="16" customWidth="1"/>
    <col min="3" max="3" width="87.5703125" style="17" customWidth="1"/>
    <col min="4" max="4" width="2.7109375" style="15" customWidth="1"/>
    <col min="5" max="16384" width="11.42578125" style="15"/>
  </cols>
  <sheetData>
    <row r="1" spans="1:4" ht="13.5" customHeight="1" x14ac:dyDescent="0.25">
      <c r="A1" s="12"/>
      <c r="B1" s="13"/>
      <c r="C1" s="14"/>
      <c r="D1" s="12"/>
    </row>
    <row r="2" spans="1:4" ht="29.25" customHeight="1" thickBot="1" x14ac:dyDescent="0.3">
      <c r="A2" s="12"/>
      <c r="B2" s="20" t="s">
        <v>34</v>
      </c>
      <c r="C2" s="20"/>
      <c r="D2" s="12"/>
    </row>
    <row r="3" spans="1:4" ht="45.75" thickTop="1" x14ac:dyDescent="0.25">
      <c r="A3" s="12"/>
      <c r="B3" s="16" t="s">
        <v>15</v>
      </c>
      <c r="C3" s="17" t="s">
        <v>16</v>
      </c>
      <c r="D3" s="12"/>
    </row>
    <row r="4" spans="1:4" ht="105" x14ac:dyDescent="0.25">
      <c r="A4" s="12"/>
      <c r="B4" s="16" t="s">
        <v>20</v>
      </c>
      <c r="C4" s="17" t="s">
        <v>21</v>
      </c>
      <c r="D4" s="12"/>
    </row>
    <row r="5" spans="1:4" ht="60" x14ac:dyDescent="0.25">
      <c r="A5" s="12"/>
      <c r="B5" s="16" t="s">
        <v>13</v>
      </c>
      <c r="C5" s="17" t="s">
        <v>17</v>
      </c>
      <c r="D5" s="12"/>
    </row>
    <row r="6" spans="1:4" ht="75" x14ac:dyDescent="0.25">
      <c r="A6" s="12"/>
      <c r="B6" s="16" t="s">
        <v>12</v>
      </c>
      <c r="C6" s="17" t="s">
        <v>14</v>
      </c>
      <c r="D6" s="12"/>
    </row>
    <row r="7" spans="1:4" ht="60" x14ac:dyDescent="0.25">
      <c r="A7" s="12"/>
      <c r="B7" s="16" t="s">
        <v>19</v>
      </c>
      <c r="C7" s="17" t="s">
        <v>23</v>
      </c>
      <c r="D7" s="12"/>
    </row>
    <row r="8" spans="1:4" ht="60" x14ac:dyDescent="0.25">
      <c r="A8" s="12"/>
      <c r="B8" s="16" t="s">
        <v>18</v>
      </c>
      <c r="C8" s="17" t="s">
        <v>22</v>
      </c>
      <c r="D8" s="12"/>
    </row>
    <row r="9" spans="1:4" ht="12" customHeight="1" x14ac:dyDescent="0.25">
      <c r="A9" s="12"/>
      <c r="B9" s="13"/>
      <c r="C9" s="14"/>
      <c r="D9" s="12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1AC9-2463-419B-9307-706259DC72D3}">
  <dimension ref="A1:C35"/>
  <sheetViews>
    <sheetView topLeftCell="A6" workbookViewId="0">
      <selection activeCell="B22" sqref="B22:B34"/>
    </sheetView>
  </sheetViews>
  <sheetFormatPr baseColWidth="10" defaultRowHeight="15" x14ac:dyDescent="0.25"/>
  <cols>
    <col min="1" max="1" width="2.28515625" style="15" customWidth="1"/>
    <col min="2" max="2" width="128.5703125" style="17" customWidth="1"/>
    <col min="3" max="3" width="2.140625" style="15" customWidth="1"/>
    <col min="4" max="16384" width="11.42578125" style="15"/>
  </cols>
  <sheetData>
    <row r="1" spans="1:3" ht="9.75" customHeight="1" x14ac:dyDescent="0.25">
      <c r="A1" s="12"/>
      <c r="B1" s="14"/>
      <c r="C1" s="12"/>
    </row>
    <row r="2" spans="1:3" ht="24" thickBot="1" x14ac:dyDescent="0.3">
      <c r="A2" s="12"/>
      <c r="B2" s="11" t="s">
        <v>24</v>
      </c>
      <c r="C2" s="12"/>
    </row>
    <row r="3" spans="1:3" ht="15.75" thickTop="1" x14ac:dyDescent="0.25">
      <c r="A3" s="12"/>
      <c r="B3" s="18"/>
      <c r="C3" s="12"/>
    </row>
    <row r="4" spans="1:3" x14ac:dyDescent="0.25">
      <c r="A4" s="12"/>
      <c r="B4" s="19" t="s">
        <v>25</v>
      </c>
      <c r="C4" s="12"/>
    </row>
    <row r="5" spans="1:3" x14ac:dyDescent="0.25">
      <c r="A5" s="12"/>
      <c r="B5" s="18"/>
      <c r="C5" s="12"/>
    </row>
    <row r="6" spans="1:3" ht="30" x14ac:dyDescent="0.25">
      <c r="A6" s="12"/>
      <c r="B6" s="19" t="s">
        <v>26</v>
      </c>
      <c r="C6" s="12"/>
    </row>
    <row r="7" spans="1:3" x14ac:dyDescent="0.25">
      <c r="A7" s="12"/>
      <c r="B7" s="18"/>
      <c r="C7" s="12"/>
    </row>
    <row r="8" spans="1:3" ht="30" x14ac:dyDescent="0.25">
      <c r="A8" s="12"/>
      <c r="B8" s="19" t="s">
        <v>35</v>
      </c>
      <c r="C8" s="12"/>
    </row>
    <row r="9" spans="1:3" x14ac:dyDescent="0.25">
      <c r="A9" s="12"/>
      <c r="B9" s="18"/>
      <c r="C9" s="12"/>
    </row>
    <row r="10" spans="1:3" ht="30" x14ac:dyDescent="0.25">
      <c r="A10" s="12"/>
      <c r="B10" s="19" t="s">
        <v>36</v>
      </c>
      <c r="C10" s="12"/>
    </row>
    <row r="11" spans="1:3" x14ac:dyDescent="0.25">
      <c r="A11" s="12"/>
      <c r="B11" s="18"/>
      <c r="C11" s="12"/>
    </row>
    <row r="12" spans="1:3" ht="30" x14ac:dyDescent="0.25">
      <c r="A12" s="12"/>
      <c r="B12" s="19" t="s">
        <v>37</v>
      </c>
      <c r="C12" s="12"/>
    </row>
    <row r="13" spans="1:3" x14ac:dyDescent="0.25">
      <c r="A13" s="12"/>
      <c r="B13" s="18"/>
      <c r="C13" s="12"/>
    </row>
    <row r="14" spans="1:3" ht="30" x14ac:dyDescent="0.25">
      <c r="A14" s="12"/>
      <c r="B14" s="19" t="s">
        <v>27</v>
      </c>
      <c r="C14" s="12"/>
    </row>
    <row r="15" spans="1:3" x14ac:dyDescent="0.25">
      <c r="A15" s="12"/>
      <c r="B15" s="18"/>
      <c r="C15" s="12"/>
    </row>
    <row r="16" spans="1:3" ht="30" x14ac:dyDescent="0.25">
      <c r="A16" s="12"/>
      <c r="B16" s="19" t="s">
        <v>28</v>
      </c>
      <c r="C16" s="12"/>
    </row>
    <row r="17" spans="1:3" x14ac:dyDescent="0.25">
      <c r="A17" s="12"/>
      <c r="B17" s="18"/>
      <c r="C17" s="12"/>
    </row>
    <row r="18" spans="1:3" x14ac:dyDescent="0.25">
      <c r="A18" s="12"/>
      <c r="B18" s="19" t="s">
        <v>39</v>
      </c>
      <c r="C18" s="12"/>
    </row>
    <row r="19" spans="1:3" x14ac:dyDescent="0.25">
      <c r="A19" s="12"/>
      <c r="C19" s="12"/>
    </row>
    <row r="20" spans="1:3" ht="24" thickBot="1" x14ac:dyDescent="0.3">
      <c r="A20" s="12"/>
      <c r="B20" s="11" t="s">
        <v>29</v>
      </c>
      <c r="C20" s="12"/>
    </row>
    <row r="21" spans="1:3" ht="15.75" thickTop="1" x14ac:dyDescent="0.25">
      <c r="A21" s="12"/>
      <c r="B21" s="18"/>
      <c r="C21" s="12"/>
    </row>
    <row r="22" spans="1:3" ht="30" x14ac:dyDescent="0.25">
      <c r="A22" s="12"/>
      <c r="B22" s="19" t="s">
        <v>30</v>
      </c>
      <c r="C22" s="12"/>
    </row>
    <row r="23" spans="1:3" x14ac:dyDescent="0.25">
      <c r="A23" s="12"/>
      <c r="B23" s="18"/>
      <c r="C23" s="12"/>
    </row>
    <row r="24" spans="1:3" ht="30" x14ac:dyDescent="0.25">
      <c r="A24" s="12"/>
      <c r="B24" s="19" t="s">
        <v>40</v>
      </c>
      <c r="C24" s="12"/>
    </row>
    <row r="25" spans="1:3" x14ac:dyDescent="0.25">
      <c r="A25" s="12"/>
      <c r="B25" s="18"/>
      <c r="C25" s="12"/>
    </row>
    <row r="26" spans="1:3" ht="30" x14ac:dyDescent="0.25">
      <c r="A26" s="12"/>
      <c r="B26" s="19" t="s">
        <v>41</v>
      </c>
      <c r="C26" s="12"/>
    </row>
    <row r="27" spans="1:3" x14ac:dyDescent="0.25">
      <c r="A27" s="12"/>
      <c r="B27" s="18"/>
      <c r="C27" s="12"/>
    </row>
    <row r="28" spans="1:3" ht="45" x14ac:dyDescent="0.25">
      <c r="A28" s="12"/>
      <c r="B28" s="19" t="s">
        <v>42</v>
      </c>
      <c r="C28" s="12"/>
    </row>
    <row r="29" spans="1:3" x14ac:dyDescent="0.25">
      <c r="A29" s="12"/>
      <c r="B29" s="18"/>
      <c r="C29" s="12"/>
    </row>
    <row r="30" spans="1:3" ht="30" x14ac:dyDescent="0.25">
      <c r="A30" s="12"/>
      <c r="B30" s="19" t="s">
        <v>31</v>
      </c>
      <c r="C30" s="12"/>
    </row>
    <row r="31" spans="1:3" x14ac:dyDescent="0.25">
      <c r="A31" s="12"/>
      <c r="B31" s="18"/>
      <c r="C31" s="12"/>
    </row>
    <row r="32" spans="1:3" ht="45" x14ac:dyDescent="0.25">
      <c r="A32" s="12"/>
      <c r="B32" s="19" t="s">
        <v>32</v>
      </c>
      <c r="C32" s="12"/>
    </row>
    <row r="33" spans="1:3" x14ac:dyDescent="0.25">
      <c r="A33" s="12"/>
      <c r="B33" s="18"/>
      <c r="C33" s="12"/>
    </row>
    <row r="34" spans="1:3" ht="45" x14ac:dyDescent="0.25">
      <c r="A34" s="12"/>
      <c r="B34" s="19" t="s">
        <v>33</v>
      </c>
      <c r="C34" s="12"/>
    </row>
    <row r="35" spans="1:3" ht="10.5" customHeight="1" x14ac:dyDescent="0.25">
      <c r="A35" s="12"/>
      <c r="B35" s="14"/>
      <c r="C3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3BB5-FA9D-4AD3-B101-5C01CD6104B5}">
  <dimension ref="A1:M11"/>
  <sheetViews>
    <sheetView zoomScale="110" zoomScaleNormal="110" workbookViewId="0">
      <selection activeCell="M1" sqref="M1"/>
    </sheetView>
  </sheetViews>
  <sheetFormatPr baseColWidth="10" defaultRowHeight="15" x14ac:dyDescent="0.25"/>
  <cols>
    <col min="1" max="1" width="9.5703125" bestFit="1" customWidth="1"/>
    <col min="2" max="2" width="5.7109375" style="1" customWidth="1"/>
    <col min="3" max="5" width="8.140625" customWidth="1"/>
    <col min="6" max="6" width="5.5703125" customWidth="1"/>
    <col min="7" max="7" width="49.140625" style="9" bestFit="1" customWidth="1"/>
    <col min="8" max="8" width="14.5703125" bestFit="1" customWidth="1"/>
    <col min="10" max="10" width="11.42578125" style="1"/>
    <col min="11" max="11" width="59.7109375" bestFit="1" customWidth="1"/>
    <col min="12" max="12" width="25" bestFit="1" customWidth="1"/>
  </cols>
  <sheetData>
    <row r="1" spans="1:13" ht="15.75" thickBot="1" x14ac:dyDescent="0.3">
      <c r="G1" s="8" t="s">
        <v>8</v>
      </c>
      <c r="H1" s="2" t="s">
        <v>0</v>
      </c>
      <c r="I1" s="2" t="s">
        <v>6</v>
      </c>
      <c r="J1" s="10" t="s">
        <v>9</v>
      </c>
      <c r="K1" s="3" t="s">
        <v>38</v>
      </c>
      <c r="L1" s="3" t="s">
        <v>10</v>
      </c>
      <c r="M1" s="3" t="s">
        <v>11</v>
      </c>
    </row>
    <row r="2" spans="1:13" ht="18" thickBot="1" x14ac:dyDescent="0.35">
      <c r="C2" s="21" t="s">
        <v>0</v>
      </c>
      <c r="D2" s="21"/>
      <c r="E2" s="21"/>
      <c r="G2" t="s">
        <v>94</v>
      </c>
      <c r="H2" t="s">
        <v>4</v>
      </c>
      <c r="I2" t="s">
        <v>2</v>
      </c>
      <c r="J2" s="1">
        <f>INDEX($C$5:$E$7,MATCH(H2,$C$3:$E$3,0),MATCH(I2,$A$5:$A$7,0))</f>
        <v>4</v>
      </c>
      <c r="K2" t="s">
        <v>104</v>
      </c>
      <c r="L2" t="s">
        <v>105</v>
      </c>
      <c r="M2" t="s">
        <v>119</v>
      </c>
    </row>
    <row r="3" spans="1:13" ht="15.75" thickTop="1" x14ac:dyDescent="0.25">
      <c r="C3" s="4" t="s">
        <v>4</v>
      </c>
      <c r="D3" s="4" t="s">
        <v>5</v>
      </c>
      <c r="E3" s="4" t="s">
        <v>1</v>
      </c>
      <c r="G3" t="s">
        <v>95</v>
      </c>
      <c r="H3" t="s">
        <v>1</v>
      </c>
      <c r="I3" t="s">
        <v>2</v>
      </c>
      <c r="J3" s="1">
        <f>INDEX($C$5:$E$7,MATCH(H3,$C$3:$E$3,0),MATCH(I3,$A$5:$A$7,0))</f>
        <v>8</v>
      </c>
      <c r="K3" t="s">
        <v>106</v>
      </c>
      <c r="L3" t="s">
        <v>107</v>
      </c>
      <c r="M3" t="s">
        <v>119</v>
      </c>
    </row>
    <row r="4" spans="1:13" ht="18" thickBot="1" x14ac:dyDescent="0.35">
      <c r="A4" s="5" t="s">
        <v>6</v>
      </c>
      <c r="C4" s="4">
        <v>1</v>
      </c>
      <c r="D4" s="4">
        <v>3</v>
      </c>
      <c r="E4" s="4">
        <v>5</v>
      </c>
      <c r="G4" t="s">
        <v>96</v>
      </c>
      <c r="H4" t="s">
        <v>1</v>
      </c>
      <c r="I4" t="s">
        <v>2</v>
      </c>
      <c r="J4" s="1">
        <f>INDEX($C$5:$E$7,MATCH(H4,$C$3:$E$3,0),MATCH(I4,$A$5:$A$7,0))</f>
        <v>8</v>
      </c>
      <c r="K4" t="s">
        <v>108</v>
      </c>
      <c r="L4" t="s">
        <v>109</v>
      </c>
      <c r="M4" t="s">
        <v>119</v>
      </c>
    </row>
    <row r="5" spans="1:13" ht="15.75" thickTop="1" x14ac:dyDescent="0.25">
      <c r="A5" s="6" t="s">
        <v>3</v>
      </c>
      <c r="B5" s="7">
        <v>1</v>
      </c>
      <c r="C5" s="1">
        <f>C4+$B$5</f>
        <v>2</v>
      </c>
      <c r="D5" s="1">
        <f t="shared" ref="D5:E5" si="0">D4+$B$5</f>
        <v>4</v>
      </c>
      <c r="E5" s="1">
        <f t="shared" si="0"/>
        <v>6</v>
      </c>
      <c r="G5" t="s">
        <v>97</v>
      </c>
      <c r="H5" t="s">
        <v>5</v>
      </c>
      <c r="I5" t="s">
        <v>2</v>
      </c>
      <c r="J5" s="1">
        <f>INDEX($C$5:$E$7,MATCH(H5,$C$3:$E$3,0),MATCH(I5,$A$5:$A$7,0))</f>
        <v>6</v>
      </c>
      <c r="K5" t="s">
        <v>110</v>
      </c>
      <c r="L5" t="s">
        <v>111</v>
      </c>
      <c r="M5" t="s">
        <v>119</v>
      </c>
    </row>
    <row r="6" spans="1:13" x14ac:dyDescent="0.25">
      <c r="A6" s="6" t="s">
        <v>2</v>
      </c>
      <c r="B6" s="7">
        <v>3</v>
      </c>
      <c r="C6" s="1">
        <f>C4+$B$6</f>
        <v>4</v>
      </c>
      <c r="D6" s="1">
        <f t="shared" ref="D6:E6" si="1">D4+$B$6</f>
        <v>6</v>
      </c>
      <c r="E6" s="1">
        <f t="shared" si="1"/>
        <v>8</v>
      </c>
      <c r="G6" t="s">
        <v>98</v>
      </c>
      <c r="H6" t="s">
        <v>4</v>
      </c>
      <c r="I6" t="s">
        <v>3</v>
      </c>
      <c r="J6" s="1">
        <f>INDEX($C$5:$E$7,MATCH(H6,$C$3:$E$3,0),MATCH(I6,$A$5:$A$7,0))</f>
        <v>2</v>
      </c>
      <c r="K6" t="s">
        <v>112</v>
      </c>
      <c r="L6" t="s">
        <v>111</v>
      </c>
      <c r="M6" t="s">
        <v>119</v>
      </c>
    </row>
    <row r="7" spans="1:13" x14ac:dyDescent="0.25">
      <c r="A7" s="6" t="s">
        <v>7</v>
      </c>
      <c r="B7" s="7">
        <v>5</v>
      </c>
      <c r="C7" s="1">
        <f>C4+$B$7</f>
        <v>6</v>
      </c>
      <c r="D7" s="1">
        <f t="shared" ref="D7" si="2">D4+$B$7</f>
        <v>8</v>
      </c>
      <c r="E7" s="1">
        <f>E4+$B$7</f>
        <v>10</v>
      </c>
      <c r="G7" t="s">
        <v>99</v>
      </c>
      <c r="H7" t="s">
        <v>5</v>
      </c>
      <c r="I7" t="s">
        <v>2</v>
      </c>
      <c r="J7" s="1">
        <f t="shared" ref="J7:J11" si="3">INDEX($C$5:$E$7,MATCH(H7,$C$3:$E$3,0),MATCH(I7,$A$5:$A$7,0))</f>
        <v>6</v>
      </c>
      <c r="K7" t="s">
        <v>113</v>
      </c>
      <c r="L7" t="s">
        <v>107</v>
      </c>
      <c r="M7" t="s">
        <v>119</v>
      </c>
    </row>
    <row r="8" spans="1:13" x14ac:dyDescent="0.25">
      <c r="G8" t="s">
        <v>100</v>
      </c>
      <c r="H8" t="s">
        <v>4</v>
      </c>
      <c r="I8" t="s">
        <v>2</v>
      </c>
      <c r="J8" s="1">
        <f t="shared" si="3"/>
        <v>4</v>
      </c>
      <c r="K8" t="s">
        <v>114</v>
      </c>
      <c r="L8" t="s">
        <v>105</v>
      </c>
      <c r="M8" t="s">
        <v>119</v>
      </c>
    </row>
    <row r="9" spans="1:13" x14ac:dyDescent="0.25">
      <c r="G9" t="s">
        <v>101</v>
      </c>
      <c r="H9" t="s">
        <v>4</v>
      </c>
      <c r="I9" t="s">
        <v>2</v>
      </c>
      <c r="J9" s="1">
        <f t="shared" si="3"/>
        <v>4</v>
      </c>
      <c r="K9" t="s">
        <v>115</v>
      </c>
      <c r="L9" t="s">
        <v>116</v>
      </c>
      <c r="M9" t="s">
        <v>119</v>
      </c>
    </row>
    <row r="10" spans="1:13" x14ac:dyDescent="0.25">
      <c r="G10" t="s">
        <v>102</v>
      </c>
      <c r="H10" t="s">
        <v>1</v>
      </c>
      <c r="I10" t="s">
        <v>7</v>
      </c>
      <c r="J10" s="1">
        <f t="shared" si="3"/>
        <v>10</v>
      </c>
      <c r="K10" t="s">
        <v>117</v>
      </c>
      <c r="L10" t="s">
        <v>111</v>
      </c>
      <c r="M10" t="s">
        <v>119</v>
      </c>
    </row>
    <row r="11" spans="1:13" x14ac:dyDescent="0.25">
      <c r="G11" t="s">
        <v>103</v>
      </c>
      <c r="H11" t="s">
        <v>4</v>
      </c>
      <c r="I11" t="s">
        <v>7</v>
      </c>
      <c r="J11" s="1">
        <f t="shared" si="3"/>
        <v>6</v>
      </c>
      <c r="K11" t="s">
        <v>118</v>
      </c>
      <c r="L11" t="s">
        <v>111</v>
      </c>
      <c r="M11" t="s">
        <v>119</v>
      </c>
    </row>
  </sheetData>
  <autoFilter ref="G1:M7" xr:uid="{3FF23BB5-FA9D-4AD3-B101-5C01CD6104B5}">
    <sortState xmlns:xlrd2="http://schemas.microsoft.com/office/spreadsheetml/2017/richdata2" ref="G2:M7">
      <sortCondition descending="1" ref="J1:J7"/>
    </sortState>
  </autoFilter>
  <mergeCells count="1">
    <mergeCell ref="C2:E2"/>
  </mergeCells>
  <conditionalFormatting sqref="C5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0DA1C7-D402-4318-8EBF-7743FCD49514}">
          <x14:formula1>
            <xm:f>escalas!$A$2:$A$5</xm:f>
          </x14:formula1>
          <xm:sqref>H2:H11</xm:sqref>
        </x14:dataValidation>
        <x14:dataValidation type="list" allowBlank="1" showInputMessage="1" showErrorMessage="1" xr:uid="{5D827B13-DFEB-4034-B996-18F6FB8F2B65}">
          <x14:formula1>
            <xm:f>escalas!$B$2:$B$5</xm:f>
          </x14:formula1>
          <xm:sqref>I2:I11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E8B3-B7D5-47BC-805D-2B2556DAC8B4}">
  <dimension ref="B2:H26"/>
  <sheetViews>
    <sheetView zoomScale="90" zoomScaleNormal="90" workbookViewId="0">
      <selection activeCell="D14" sqref="D14"/>
    </sheetView>
  </sheetViews>
  <sheetFormatPr baseColWidth="10" defaultRowHeight="15" x14ac:dyDescent="0.25"/>
  <cols>
    <col min="2" max="2" width="34.5703125" customWidth="1"/>
    <col min="3" max="3" width="23.28515625" customWidth="1"/>
    <col min="4" max="4" width="28.42578125" customWidth="1"/>
    <col min="5" max="5" width="20.140625" customWidth="1"/>
    <col min="6" max="6" width="15.28515625" customWidth="1"/>
    <col min="8" max="8" width="12.7109375" customWidth="1"/>
  </cols>
  <sheetData>
    <row r="2" spans="2:8" ht="15.75" x14ac:dyDescent="0.25">
      <c r="B2" s="34" t="s">
        <v>74</v>
      </c>
      <c r="C2" s="34"/>
      <c r="D2" s="34"/>
      <c r="E2" s="34"/>
      <c r="F2" s="34"/>
      <c r="G2" s="34"/>
    </row>
    <row r="3" spans="2:8" ht="38.25" customHeight="1" x14ac:dyDescent="0.25">
      <c r="B3" s="22" t="s">
        <v>43</v>
      </c>
      <c r="C3" s="22" t="s">
        <v>44</v>
      </c>
      <c r="D3" s="22" t="s">
        <v>45</v>
      </c>
      <c r="E3" s="22" t="s">
        <v>46</v>
      </c>
      <c r="F3" s="22" t="s">
        <v>47</v>
      </c>
    </row>
    <row r="4" spans="2:8" x14ac:dyDescent="0.25">
      <c r="B4" s="23" t="s">
        <v>48</v>
      </c>
      <c r="C4" s="23">
        <v>2</v>
      </c>
      <c r="D4" s="23" t="s">
        <v>49</v>
      </c>
      <c r="E4" s="23" t="s">
        <v>50</v>
      </c>
      <c r="F4" s="24">
        <v>12000</v>
      </c>
      <c r="G4" s="23" t="s">
        <v>51</v>
      </c>
      <c r="H4" s="31">
        <f>+F4*C4</f>
        <v>24000</v>
      </c>
    </row>
    <row r="5" spans="2:8" ht="30" x14ac:dyDescent="0.25">
      <c r="B5" s="23" t="s">
        <v>52</v>
      </c>
      <c r="C5" s="23">
        <v>1</v>
      </c>
      <c r="D5" s="23" t="s">
        <v>53</v>
      </c>
      <c r="E5" s="23" t="s">
        <v>54</v>
      </c>
      <c r="F5" s="24">
        <v>8000</v>
      </c>
      <c r="H5" s="31"/>
    </row>
    <row r="6" spans="2:8" x14ac:dyDescent="0.25">
      <c r="B6" s="23" t="s">
        <v>55</v>
      </c>
      <c r="C6" s="23">
        <v>1</v>
      </c>
      <c r="D6" s="23" t="s">
        <v>56</v>
      </c>
      <c r="E6" s="23" t="s">
        <v>57</v>
      </c>
      <c r="F6" s="24">
        <v>10000</v>
      </c>
      <c r="H6" s="31"/>
    </row>
    <row r="7" spans="2:8" x14ac:dyDescent="0.25">
      <c r="B7" s="23" t="s">
        <v>58</v>
      </c>
      <c r="C7" s="23">
        <v>1</v>
      </c>
      <c r="D7" s="23" t="s">
        <v>59</v>
      </c>
      <c r="E7" s="23" t="s">
        <v>60</v>
      </c>
      <c r="F7" s="24">
        <v>2000</v>
      </c>
      <c r="H7" s="31"/>
    </row>
    <row r="8" spans="2:8" x14ac:dyDescent="0.25">
      <c r="B8" s="23" t="s">
        <v>61</v>
      </c>
      <c r="C8" s="23">
        <v>1</v>
      </c>
      <c r="D8" s="23" t="s">
        <v>62</v>
      </c>
      <c r="E8" s="23" t="s">
        <v>63</v>
      </c>
      <c r="F8" s="24">
        <v>2500</v>
      </c>
      <c r="H8" s="31"/>
    </row>
    <row r="9" spans="2:8" x14ac:dyDescent="0.25">
      <c r="B9" s="23" t="s">
        <v>64</v>
      </c>
      <c r="C9" s="23">
        <v>1</v>
      </c>
      <c r="D9" s="23" t="s">
        <v>65</v>
      </c>
      <c r="E9" s="23" t="s">
        <v>66</v>
      </c>
      <c r="F9" s="24">
        <v>4000</v>
      </c>
      <c r="H9" s="31"/>
    </row>
    <row r="10" spans="2:8" x14ac:dyDescent="0.25">
      <c r="B10" s="23" t="s">
        <v>67</v>
      </c>
      <c r="C10" s="23">
        <v>3</v>
      </c>
      <c r="D10" s="23" t="s">
        <v>68</v>
      </c>
      <c r="E10" s="23" t="s">
        <v>57</v>
      </c>
      <c r="F10" s="25">
        <v>1500</v>
      </c>
      <c r="G10" s="23" t="s">
        <v>51</v>
      </c>
      <c r="H10" s="31">
        <f>+F10*C10</f>
        <v>4500</v>
      </c>
    </row>
    <row r="11" spans="2:8" x14ac:dyDescent="0.25">
      <c r="B11" s="23" t="s">
        <v>73</v>
      </c>
      <c r="C11" s="23">
        <v>2</v>
      </c>
      <c r="D11" s="23" t="s">
        <v>68</v>
      </c>
      <c r="E11" s="23" t="s">
        <v>50</v>
      </c>
      <c r="F11" s="24">
        <v>1500</v>
      </c>
      <c r="G11" s="23" t="s">
        <v>51</v>
      </c>
      <c r="H11" s="31">
        <f>F11*C11</f>
        <v>3000</v>
      </c>
    </row>
    <row r="12" spans="2:8" x14ac:dyDescent="0.25">
      <c r="B12" s="23" t="s">
        <v>69</v>
      </c>
      <c r="C12" s="23">
        <v>1</v>
      </c>
      <c r="D12" s="23" t="s">
        <v>70</v>
      </c>
      <c r="E12" s="23" t="s">
        <v>71</v>
      </c>
      <c r="F12" s="24">
        <v>6000</v>
      </c>
    </row>
    <row r="13" spans="2:8" ht="15.75" thickBot="1" x14ac:dyDescent="0.3">
      <c r="B13" s="28" t="s">
        <v>72</v>
      </c>
      <c r="C13" s="28"/>
      <c r="D13" s="29"/>
      <c r="E13" s="29"/>
      <c r="F13" s="30">
        <f>+H4+F5+F6+F7+F9+F8+H10+H11+F12</f>
        <v>64000</v>
      </c>
    </row>
    <row r="14" spans="2:8" ht="15.75" thickTop="1" x14ac:dyDescent="0.25">
      <c r="F14" s="26"/>
    </row>
    <row r="17" spans="2:7" ht="15.75" x14ac:dyDescent="0.25">
      <c r="B17" s="34" t="s">
        <v>75</v>
      </c>
      <c r="C17" s="34"/>
      <c r="D17" s="34"/>
      <c r="E17" s="34"/>
      <c r="F17" s="34"/>
      <c r="G17" s="34"/>
    </row>
    <row r="18" spans="2:7" ht="30" x14ac:dyDescent="0.25">
      <c r="B18" s="22" t="s">
        <v>76</v>
      </c>
      <c r="C18" s="22" t="s">
        <v>77</v>
      </c>
      <c r="D18" s="22" t="s">
        <v>78</v>
      </c>
      <c r="E18" s="22" t="s">
        <v>79</v>
      </c>
      <c r="F18" s="22" t="s">
        <v>80</v>
      </c>
    </row>
    <row r="19" spans="2:7" x14ac:dyDescent="0.25">
      <c r="B19" s="23" t="s">
        <v>81</v>
      </c>
      <c r="C19" s="23">
        <v>10</v>
      </c>
      <c r="D19" s="23" t="s">
        <v>57</v>
      </c>
      <c r="E19" s="25">
        <v>120</v>
      </c>
      <c r="F19" s="25">
        <v>1200</v>
      </c>
    </row>
    <row r="20" spans="2:7" x14ac:dyDescent="0.25">
      <c r="B20" s="23" t="s">
        <v>82</v>
      </c>
      <c r="C20" s="23">
        <v>50</v>
      </c>
      <c r="D20" s="23" t="s">
        <v>54</v>
      </c>
      <c r="E20" s="25">
        <v>5</v>
      </c>
      <c r="F20" s="25">
        <v>250</v>
      </c>
    </row>
    <row r="21" spans="2:7" x14ac:dyDescent="0.25">
      <c r="B21" s="23" t="s">
        <v>83</v>
      </c>
      <c r="C21" s="33" t="s">
        <v>93</v>
      </c>
      <c r="D21" s="23" t="s">
        <v>50</v>
      </c>
      <c r="E21" s="25">
        <v>1200</v>
      </c>
      <c r="F21" s="25">
        <v>2400</v>
      </c>
    </row>
    <row r="22" spans="2:7" x14ac:dyDescent="0.25">
      <c r="B22" s="23" t="s">
        <v>84</v>
      </c>
      <c r="C22" s="23">
        <v>50</v>
      </c>
      <c r="D22" s="23" t="s">
        <v>54</v>
      </c>
      <c r="E22" s="25">
        <v>2</v>
      </c>
      <c r="F22" s="25">
        <v>100</v>
      </c>
    </row>
    <row r="23" spans="2:7" x14ac:dyDescent="0.25">
      <c r="B23" s="23" t="s">
        <v>85</v>
      </c>
      <c r="C23" s="23">
        <v>50</v>
      </c>
      <c r="D23" s="23" t="s">
        <v>57</v>
      </c>
      <c r="E23" s="25">
        <v>3</v>
      </c>
      <c r="F23" s="25">
        <v>150</v>
      </c>
    </row>
    <row r="24" spans="2:7" x14ac:dyDescent="0.25">
      <c r="B24" s="23" t="s">
        <v>86</v>
      </c>
      <c r="C24" s="23">
        <v>200</v>
      </c>
      <c r="D24" s="23" t="s">
        <v>87</v>
      </c>
      <c r="E24" s="25">
        <v>1.5</v>
      </c>
      <c r="F24" s="25">
        <v>300</v>
      </c>
    </row>
    <row r="25" spans="2:7" ht="30" x14ac:dyDescent="0.25">
      <c r="B25" s="23" t="s">
        <v>88</v>
      </c>
      <c r="C25" s="23" t="s">
        <v>89</v>
      </c>
      <c r="D25" s="23" t="s">
        <v>90</v>
      </c>
      <c r="E25" s="25" t="s">
        <v>91</v>
      </c>
      <c r="F25" s="25">
        <v>3000</v>
      </c>
    </row>
    <row r="26" spans="2:7" x14ac:dyDescent="0.25">
      <c r="B26" s="27" t="s">
        <v>92</v>
      </c>
      <c r="C26" s="23" t="s">
        <v>91</v>
      </c>
      <c r="D26" s="23" t="s">
        <v>91</v>
      </c>
      <c r="E26" s="25" t="s">
        <v>91</v>
      </c>
      <c r="F26" s="32">
        <f>SUM(F19:F25)</f>
        <v>7400</v>
      </c>
    </row>
  </sheetData>
  <mergeCells count="2">
    <mergeCell ref="B2:G2"/>
    <mergeCell ref="B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PRESENTACIÓN</vt:lpstr>
      <vt:lpstr>escalas</vt:lpstr>
      <vt:lpstr>Generalidades</vt:lpstr>
      <vt:lpstr>Instrucciones</vt:lpstr>
      <vt:lpstr>Riesgos de estudio técnico</vt:lpstr>
      <vt:lpstr>NECESIDADES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Cabrera Cabello</dc:creator>
  <cp:lastModifiedBy>Huerta Hernandez Brenda Anahi</cp:lastModifiedBy>
  <cp:lastPrinted>2024-10-01T20:40:58Z</cp:lastPrinted>
  <dcterms:created xsi:type="dcterms:W3CDTF">2024-09-29T08:21:59Z</dcterms:created>
  <dcterms:modified xsi:type="dcterms:W3CDTF">2025-11-03T05:01:11Z</dcterms:modified>
</cp:coreProperties>
</file>